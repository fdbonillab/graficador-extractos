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tracto" sheetId="1" r:id="rId4"/>
  </sheets>
  <definedNames/>
  <calcPr/>
  <extLst>
    <ext uri="GoogleSheetsCustomDataVersion2">
      <go:sheetsCustomData xmlns:go="http://customooxmlschemas.google.com/" r:id="rId5" roundtripDataChecksum="N8ltznG6VCiylyYZtJ87a+SHsvoac7bFtzCh60K9hJs="/>
    </ext>
  </extLst>
</workbook>
</file>

<file path=xl/sharedStrings.xml><?xml version="1.0" encoding="utf-8"?>
<sst xmlns="http://schemas.openxmlformats.org/spreadsheetml/2006/main" count="153" uniqueCount="121">
  <si>
    <t>Información Cliente:</t>
  </si>
  <si>
    <t>Información General:</t>
  </si>
  <si>
    <t>DESDE</t>
  </si>
  <si>
    <t>HASTA</t>
  </si>
  <si>
    <t>2023/12/31</t>
  </si>
  <si>
    <t>2024/03/31</t>
  </si>
  <si>
    <t>Movimientos:</t>
  </si>
  <si>
    <t>FECHA</t>
  </si>
  <si>
    <t>DESCRIPCIÓN</t>
  </si>
  <si>
    <t>SUCURSAL</t>
  </si>
  <si>
    <t>DCTO.</t>
  </si>
  <si>
    <t>VALOR</t>
  </si>
  <si>
    <t>SALDO</t>
  </si>
  <si>
    <t>1/01</t>
  </si>
  <si>
    <t>ABONO INTERESES AHORROS</t>
  </si>
  <si>
    <t>10.28</t>
  </si>
  <si>
    <t>7,507,890.71</t>
  </si>
  <si>
    <t>2/01</t>
  </si>
  <si>
    <t>TRANSF A PARTNERS TELECOM CO</t>
  </si>
  <si>
    <t>-16,000.00</t>
  </si>
  <si>
    <t>7,491,890.71</t>
  </si>
  <si>
    <t>3/01</t>
  </si>
  <si>
    <t>20.52</t>
  </si>
  <si>
    <t>7,491,911.23</t>
  </si>
  <si>
    <t>4/01</t>
  </si>
  <si>
    <t>9.85</t>
  </si>
  <si>
    <t>7,491,921.08</t>
  </si>
  <si>
    <t>RETIRO CAJERO  HALL AUTOSERVIC</t>
  </si>
  <si>
    <t>-300,000.00</t>
  </si>
  <si>
    <t>7,191,921.08</t>
  </si>
  <si>
    <t>5/01</t>
  </si>
  <si>
    <t>8.60</t>
  </si>
  <si>
    <t>7,191,929.68</t>
  </si>
  <si>
    <t>TRANSFERENCIA A NEQUI</t>
  </si>
  <si>
    <t>-700,000.00</t>
  </si>
  <si>
    <t>6,491,929.68</t>
  </si>
  <si>
    <t>COMPRA EN  HOTEL ORQU</t>
  </si>
  <si>
    <t>-210,000.00</t>
  </si>
  <si>
    <t>6,281,929.68</t>
  </si>
  <si>
    <t>6/01</t>
  </si>
  <si>
    <t>RETIRO CAJERO  MELGAR 2</t>
  </si>
  <si>
    <t>5,981,929.68</t>
  </si>
  <si>
    <t>proyeccion meses para bajar los 200 a 0</t>
  </si>
  <si>
    <t>11/01</t>
  </si>
  <si>
    <t>49.14</t>
  </si>
  <si>
    <t>5,981,978.82</t>
  </si>
  <si>
    <t>12/01</t>
  </si>
  <si>
    <t>TRANSFERENCIA CTA SUC VIRTUAL</t>
  </si>
  <si>
    <t>-20,000.00</t>
  </si>
  <si>
    <t>5,961,978.82</t>
  </si>
  <si>
    <t>CUOTA MANEJO TARJETA DEBITO</t>
  </si>
  <si>
    <t>-14,190.00</t>
  </si>
  <si>
    <t>5,947,788.82</t>
  </si>
  <si>
    <t>16/01</t>
  </si>
  <si>
    <t>40.70</t>
  </si>
  <si>
    <t>5,947,829.52</t>
  </si>
  <si>
    <t>17/01</t>
  </si>
  <si>
    <t>CONSIG LOCAL CHEQUE</t>
  </si>
  <si>
    <t>MERCURIO PLAZA</t>
  </si>
  <si>
    <t>500,000.00</t>
  </si>
  <si>
    <t>6,447,829.52</t>
  </si>
  <si>
    <t>18/01</t>
  </si>
  <si>
    <t>16.97</t>
  </si>
  <si>
    <t>6,447,846.49</t>
  </si>
  <si>
    <t>19/01</t>
  </si>
  <si>
    <t>RETIRO CAJERO  SUC BAZAAR ALSA</t>
  </si>
  <si>
    <t>6,147,846.49</t>
  </si>
  <si>
    <t>21/01</t>
  </si>
  <si>
    <t>25.26</t>
  </si>
  <si>
    <t>6,147,871.75</t>
  </si>
  <si>
    <t>m</t>
  </si>
  <si>
    <t>22/01</t>
  </si>
  <si>
    <t>COMPRA EN  CINEPOLIS</t>
  </si>
  <si>
    <t>-45,900.00</t>
  </si>
  <si>
    <t>6,101,971.75</t>
  </si>
  <si>
    <t>COMPRA EN  ONLY 3</t>
  </si>
  <si>
    <t>-103,600.00</t>
  </si>
  <si>
    <t>5,998,371.75</t>
  </si>
  <si>
    <t>23/01</t>
  </si>
  <si>
    <t>16.42</t>
  </si>
  <si>
    <t>5,998,388.17</t>
  </si>
  <si>
    <t>promedio 1</t>
  </si>
  <si>
    <t>promedio 2</t>
  </si>
  <si>
    <t>24/01</t>
  </si>
  <si>
    <t>8.20</t>
  </si>
  <si>
    <t>5,998,396.37</t>
  </si>
  <si>
    <t>-10,000.00</t>
  </si>
  <si>
    <t>5,988,396.37</t>
  </si>
  <si>
    <t>pendiente diaria</t>
  </si>
  <si>
    <t>perdida cada mes</t>
  </si>
  <si>
    <t>25/01</t>
  </si>
  <si>
    <t>7.38</t>
  </si>
  <si>
    <t>5,988,403.75</t>
  </si>
  <si>
    <t>-600,000.00</t>
  </si>
  <si>
    <t>5,388,403.75</t>
  </si>
  <si>
    <t>26/01</t>
  </si>
  <si>
    <t>7.29</t>
  </si>
  <si>
    <t>5,388,411.04</t>
  </si>
  <si>
    <t>-60,000.00</t>
  </si>
  <si>
    <t>5,328,411.04</t>
  </si>
  <si>
    <t>27/01</t>
  </si>
  <si>
    <t>7.26</t>
  </si>
  <si>
    <t>5,328,418.30</t>
  </si>
  <si>
    <t>COMPRA EN  TIENDAS AR</t>
  </si>
  <si>
    <t>-24,800.00</t>
  </si>
  <si>
    <t>5,303,618.30</t>
  </si>
  <si>
    <t>28/01</t>
  </si>
  <si>
    <t>7.14</t>
  </si>
  <si>
    <t>5,303,625.44</t>
  </si>
  <si>
    <t>COMPRA EN  MONTA@AS D</t>
  </si>
  <si>
    <t>-88,000.00</t>
  </si>
  <si>
    <t>5,215,625.44</t>
  </si>
  <si>
    <t>29/01</t>
  </si>
  <si>
    <t>RETIRO CAJERO  SUCURSAL MERCUR</t>
  </si>
  <si>
    <t>4,915,625.44</t>
  </si>
  <si>
    <t>30/01</t>
  </si>
  <si>
    <t>13.46</t>
  </si>
  <si>
    <t>4,915,638.90</t>
  </si>
  <si>
    <t>31/01</t>
  </si>
  <si>
    <t>6.69</t>
  </si>
  <si>
    <t>4,915,645.59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</si>
</sst>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$&quot;#,##0.00"/>
  </numFmts>
  <fonts count="2">
    <font>
      <sz val="10.0"/>
      <color rgb="FF000000"/>
      <name val="Calibri"/>
      <scheme val="minor"/>
    </font>
    <font>
      <color theme="1"/>
      <name val="Calibri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A2C4C9"/>
        <bgColor rgb="FFA2C4C9"/>
      </patternFill>
    </fill>
  </fills>
  <borders count="1">
    <border/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164" xfId="0" applyAlignment="1" applyFont="1" applyNumberFormat="1">
      <alignment readingOrder="0"/>
    </xf>
    <xf borderId="0" fillId="0" fontId="1" numFmtId="0" xfId="0" applyAlignment="1" applyFont="1">
      <alignment readingOrder="0"/>
    </xf>
    <xf borderId="0" fillId="0" fontId="1" numFmtId="4" xfId="0" applyFont="1" applyNumberFormat="1"/>
    <xf borderId="0" fillId="0" fontId="1" numFmtId="164" xfId="0" applyFont="1" applyNumberFormat="1"/>
    <xf borderId="0" fillId="2" fontId="1" numFmtId="0" xfId="0" applyAlignment="1" applyFill="1" applyFont="1">
      <alignment readingOrder="0"/>
    </xf>
    <xf borderId="0" fillId="3" fontId="1" numFmtId="0" xfId="0" applyAlignment="1" applyFill="1" applyFont="1">
      <alignment readingOrder="0"/>
    </xf>
    <xf borderId="0" fillId="3" fontId="1" numFmtId="164" xfId="0" applyFont="1" applyNumberFormat="1"/>
    <xf borderId="0" fillId="4" fontId="1" numFmtId="164" xfId="0" applyFill="1" applyFont="1" applyNumberFormat="1"/>
    <xf borderId="0" fillId="4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sheetFormatPr customHeight="1" defaultColWidth="14.43" defaultRowHeight="15.0"/>
  <cols>
    <col customWidth="1" min="2" max="2" width="33.14"/>
  </cols>
  <sheetData>
    <row r="2">
      <c r="A2" s="1" t="s">
        <v>0</v>
      </c>
    </row>
    <row r="6">
      <c r="A6" s="1" t="s">
        <v>1</v>
      </c>
    </row>
    <row r="7">
      <c r="A7" s="1" t="s">
        <v>2</v>
      </c>
      <c r="B7" s="1" t="s">
        <v>3</v>
      </c>
    </row>
    <row r="8">
      <c r="A8" s="1" t="s">
        <v>4</v>
      </c>
      <c r="B8" s="1" t="s">
        <v>5</v>
      </c>
    </row>
    <row r="14">
      <c r="A14" s="1" t="s">
        <v>6</v>
      </c>
    </row>
    <row r="15">
      <c r="A15" s="1" t="s">
        <v>7</v>
      </c>
      <c r="B15" s="1" t="s">
        <v>8</v>
      </c>
      <c r="C15" s="1" t="s">
        <v>9</v>
      </c>
      <c r="D15" s="1" t="s">
        <v>10</v>
      </c>
      <c r="E15" s="1" t="s">
        <v>11</v>
      </c>
      <c r="F15" s="1" t="s">
        <v>12</v>
      </c>
    </row>
    <row r="16">
      <c r="A16" s="1" t="s">
        <v>13</v>
      </c>
      <c r="B16" s="1" t="s">
        <v>14</v>
      </c>
      <c r="E16" s="1" t="s">
        <v>15</v>
      </c>
      <c r="F16" s="1" t="s">
        <v>16</v>
      </c>
    </row>
    <row r="17">
      <c r="A17" s="1" t="s">
        <v>17</v>
      </c>
      <c r="B17" s="1" t="s">
        <v>18</v>
      </c>
      <c r="E17" s="1" t="s">
        <v>19</v>
      </c>
      <c r="F17" s="1" t="s">
        <v>20</v>
      </c>
    </row>
    <row r="18">
      <c r="A18" s="1" t="s">
        <v>21</v>
      </c>
      <c r="B18" s="1" t="s">
        <v>14</v>
      </c>
      <c r="E18" s="1" t="s">
        <v>22</v>
      </c>
      <c r="F18" s="1" t="s">
        <v>23</v>
      </c>
    </row>
    <row r="19">
      <c r="A19" s="1" t="s">
        <v>24</v>
      </c>
      <c r="B19" s="1" t="s">
        <v>14</v>
      </c>
      <c r="E19" s="1" t="s">
        <v>25</v>
      </c>
      <c r="F19" s="1" t="s">
        <v>26</v>
      </c>
    </row>
    <row r="20">
      <c r="A20" s="1" t="s">
        <v>24</v>
      </c>
      <c r="B20" s="1" t="s">
        <v>27</v>
      </c>
      <c r="E20" s="1" t="s">
        <v>28</v>
      </c>
      <c r="F20" s="1" t="s">
        <v>29</v>
      </c>
    </row>
    <row r="21" ht="15.75" customHeight="1">
      <c r="A21" s="1" t="s">
        <v>30</v>
      </c>
      <c r="B21" s="1" t="s">
        <v>14</v>
      </c>
      <c r="E21" s="1" t="s">
        <v>31</v>
      </c>
      <c r="F21" s="1" t="s">
        <v>32</v>
      </c>
    </row>
    <row r="22" ht="15.75" customHeight="1">
      <c r="A22" s="1" t="s">
        <v>30</v>
      </c>
      <c r="B22" s="1" t="s">
        <v>33</v>
      </c>
      <c r="E22" s="1" t="s">
        <v>34</v>
      </c>
      <c r="F22" s="1" t="s">
        <v>35</v>
      </c>
      <c r="J22" s="2">
        <v>2.0E8</v>
      </c>
    </row>
    <row r="23" ht="15.75" customHeight="1">
      <c r="A23" s="1" t="s">
        <v>30</v>
      </c>
      <c r="B23" s="1" t="s">
        <v>36</v>
      </c>
      <c r="E23" s="1" t="s">
        <v>37</v>
      </c>
      <c r="F23" s="1" t="s">
        <v>38</v>
      </c>
      <c r="J23" s="3">
        <v>4040.0</v>
      </c>
      <c r="K23" s="4">
        <f>J22/J23</f>
        <v>49504.9505</v>
      </c>
      <c r="L23" s="3">
        <v>12.0</v>
      </c>
      <c r="M23" s="1">
        <f>K23/L23</f>
        <v>4125.412541</v>
      </c>
    </row>
    <row r="24" ht="15.75" customHeight="1">
      <c r="A24" s="1" t="s">
        <v>39</v>
      </c>
      <c r="B24" s="1" t="s">
        <v>40</v>
      </c>
      <c r="E24" s="1" t="s">
        <v>28</v>
      </c>
      <c r="F24" s="1" t="s">
        <v>41</v>
      </c>
      <c r="K24" s="3" t="s">
        <v>42</v>
      </c>
    </row>
    <row r="25" ht="15.75" customHeight="1">
      <c r="A25" s="1" t="s">
        <v>43</v>
      </c>
      <c r="B25" s="1" t="s">
        <v>14</v>
      </c>
      <c r="E25" s="1" t="s">
        <v>44</v>
      </c>
      <c r="F25" s="1" t="s">
        <v>45</v>
      </c>
    </row>
    <row r="26" ht="15.75" customHeight="1">
      <c r="A26" s="1" t="s">
        <v>46</v>
      </c>
      <c r="B26" s="1" t="s">
        <v>47</v>
      </c>
      <c r="E26" s="1" t="s">
        <v>48</v>
      </c>
      <c r="F26" s="1" t="s">
        <v>49</v>
      </c>
    </row>
    <row r="27" ht="15.75" customHeight="1">
      <c r="A27" s="1" t="s">
        <v>46</v>
      </c>
      <c r="B27" s="1" t="s">
        <v>50</v>
      </c>
      <c r="E27" s="1" t="s">
        <v>51</v>
      </c>
      <c r="F27" s="1" t="s">
        <v>52</v>
      </c>
    </row>
    <row r="28" ht="15.75" customHeight="1">
      <c r="A28" s="1" t="s">
        <v>53</v>
      </c>
      <c r="B28" s="1" t="s">
        <v>14</v>
      </c>
      <c r="E28" s="1" t="s">
        <v>54</v>
      </c>
      <c r="F28" s="1" t="s">
        <v>55</v>
      </c>
    </row>
    <row r="29" ht="15.75" customHeight="1">
      <c r="A29" s="1" t="s">
        <v>56</v>
      </c>
      <c r="B29" s="1" t="s">
        <v>57</v>
      </c>
      <c r="C29" s="1" t="s">
        <v>58</v>
      </c>
      <c r="E29" s="1" t="s">
        <v>59</v>
      </c>
      <c r="F29" s="1" t="s">
        <v>60</v>
      </c>
    </row>
    <row r="30" ht="15.75" customHeight="1">
      <c r="A30" s="1" t="s">
        <v>61</v>
      </c>
      <c r="B30" s="1" t="s">
        <v>14</v>
      </c>
      <c r="E30" s="1" t="s">
        <v>62</v>
      </c>
      <c r="F30" s="1" t="s">
        <v>63</v>
      </c>
    </row>
    <row r="31" ht="15.75" customHeight="1">
      <c r="A31" s="1" t="s">
        <v>64</v>
      </c>
      <c r="B31" s="1" t="s">
        <v>65</v>
      </c>
      <c r="E31" s="1" t="s">
        <v>28</v>
      </c>
      <c r="F31" s="1" t="s">
        <v>66</v>
      </c>
      <c r="J31" s="2">
        <v>-1200000.0</v>
      </c>
    </row>
    <row r="32" ht="15.75" customHeight="1">
      <c r="A32" s="1" t="s">
        <v>67</v>
      </c>
      <c r="B32" s="1" t="s">
        <v>14</v>
      </c>
      <c r="E32" s="1" t="s">
        <v>68</v>
      </c>
      <c r="F32" s="1" t="s">
        <v>69</v>
      </c>
      <c r="J32" s="3">
        <v>32.0</v>
      </c>
      <c r="K32" s="3" t="s">
        <v>70</v>
      </c>
      <c r="L32" s="5">
        <f>J31/J32</f>
        <v>-37500</v>
      </c>
    </row>
    <row r="33" ht="15.75" customHeight="1">
      <c r="A33" s="1" t="s">
        <v>71</v>
      </c>
      <c r="B33" s="1" t="s">
        <v>72</v>
      </c>
      <c r="E33" s="1" t="s">
        <v>73</v>
      </c>
      <c r="F33" s="1" t="s">
        <v>74</v>
      </c>
    </row>
    <row r="34" ht="15.75" customHeight="1">
      <c r="A34" s="1" t="s">
        <v>71</v>
      </c>
      <c r="B34" s="1" t="s">
        <v>75</v>
      </c>
      <c r="E34" s="1" t="s">
        <v>76</v>
      </c>
      <c r="F34" s="1" t="s">
        <v>77</v>
      </c>
    </row>
    <row r="35" ht="15.75" customHeight="1">
      <c r="A35" s="1" t="s">
        <v>78</v>
      </c>
      <c r="B35" s="1" t="s">
        <v>14</v>
      </c>
      <c r="E35" s="1" t="s">
        <v>79</v>
      </c>
      <c r="F35" s="1" t="s">
        <v>80</v>
      </c>
      <c r="H35" s="6" t="s">
        <v>81</v>
      </c>
      <c r="I35" s="6" t="s">
        <v>82</v>
      </c>
    </row>
    <row r="36" ht="15.75" customHeight="1">
      <c r="A36" s="1" t="s">
        <v>83</v>
      </c>
      <c r="B36" s="1" t="s">
        <v>14</v>
      </c>
      <c r="E36" s="1" t="s">
        <v>84</v>
      </c>
      <c r="F36" s="1" t="s">
        <v>85</v>
      </c>
      <c r="H36" s="6">
        <v>247856.416835</v>
      </c>
      <c r="I36" s="6">
        <v>377140.153118</v>
      </c>
      <c r="J36" s="1">
        <f>H36-I36</f>
        <v>-129283.7363</v>
      </c>
    </row>
    <row r="37" ht="15.75" customHeight="1">
      <c r="A37" s="1" t="s">
        <v>83</v>
      </c>
      <c r="B37" s="1" t="s">
        <v>47</v>
      </c>
      <c r="E37" s="1" t="s">
        <v>86</v>
      </c>
      <c r="F37" s="1" t="s">
        <v>87</v>
      </c>
      <c r="G37" s="7" t="s">
        <v>88</v>
      </c>
      <c r="H37" s="8">
        <f>J36/I37</f>
        <v>-134.6705586</v>
      </c>
      <c r="I37" s="1">
        <f>30*J37</f>
        <v>960</v>
      </c>
      <c r="J37" s="3">
        <v>32.0</v>
      </c>
      <c r="K37" s="3" t="s">
        <v>70</v>
      </c>
      <c r="L37" s="9">
        <f>J36/J37</f>
        <v>-4040.116759</v>
      </c>
      <c r="M37" s="10" t="s">
        <v>89</v>
      </c>
    </row>
    <row r="38" ht="15.75" customHeight="1">
      <c r="A38" s="1" t="s">
        <v>90</v>
      </c>
      <c r="B38" s="1" t="s">
        <v>14</v>
      </c>
      <c r="E38" s="1" t="s">
        <v>91</v>
      </c>
      <c r="F38" s="1" t="s">
        <v>92</v>
      </c>
    </row>
    <row r="39" ht="15.75" customHeight="1">
      <c r="A39" s="1" t="s">
        <v>90</v>
      </c>
      <c r="B39" s="1" t="s">
        <v>47</v>
      </c>
      <c r="E39" s="1" t="s">
        <v>93</v>
      </c>
      <c r="F39" s="1" t="s">
        <v>94</v>
      </c>
      <c r="I39" s="2">
        <v>2.0E8</v>
      </c>
      <c r="K39" s="3">
        <v>12.0</v>
      </c>
    </row>
    <row r="40" ht="15.75" customHeight="1">
      <c r="A40" s="1" t="s">
        <v>95</v>
      </c>
      <c r="B40" s="1" t="s">
        <v>14</v>
      </c>
      <c r="E40" s="1" t="s">
        <v>96</v>
      </c>
      <c r="F40" s="1" t="s">
        <v>97</v>
      </c>
      <c r="J40" s="3">
        <v>1.0</v>
      </c>
      <c r="L40" s="5">
        <f t="shared" ref="L40:L57" si="1">K$39*J40*L$37</f>
        <v>-48481.40111</v>
      </c>
      <c r="M40" s="5">
        <f t="shared" ref="M40:M57" si="2">I$39+L40</f>
        <v>199951518.6</v>
      </c>
    </row>
    <row r="41" ht="15.75" customHeight="1">
      <c r="A41" s="1" t="s">
        <v>95</v>
      </c>
      <c r="B41" s="1" t="s">
        <v>47</v>
      </c>
      <c r="E41" s="1" t="s">
        <v>98</v>
      </c>
      <c r="F41" s="1" t="s">
        <v>99</v>
      </c>
      <c r="J41" s="3">
        <v>2.0</v>
      </c>
      <c r="L41" s="5">
        <f t="shared" si="1"/>
        <v>-96962.80221</v>
      </c>
      <c r="M41" s="5">
        <f t="shared" si="2"/>
        <v>199903037.2</v>
      </c>
    </row>
    <row r="42" ht="15.75" customHeight="1">
      <c r="A42" s="1" t="s">
        <v>100</v>
      </c>
      <c r="B42" s="1" t="s">
        <v>14</v>
      </c>
      <c r="E42" s="1" t="s">
        <v>101</v>
      </c>
      <c r="F42" s="1" t="s">
        <v>102</v>
      </c>
      <c r="J42" s="3">
        <v>3.0</v>
      </c>
      <c r="L42" s="5">
        <f t="shared" si="1"/>
        <v>-145444.2033</v>
      </c>
      <c r="M42" s="5">
        <f t="shared" si="2"/>
        <v>199854555.8</v>
      </c>
    </row>
    <row r="43" ht="15.75" customHeight="1">
      <c r="A43" s="1" t="s">
        <v>100</v>
      </c>
      <c r="B43" s="1" t="s">
        <v>103</v>
      </c>
      <c r="E43" s="1" t="s">
        <v>104</v>
      </c>
      <c r="F43" s="1" t="s">
        <v>105</v>
      </c>
      <c r="J43" s="3">
        <v>4.0</v>
      </c>
      <c r="L43" s="5">
        <f t="shared" si="1"/>
        <v>-193925.6044</v>
      </c>
      <c r="M43" s="5">
        <f t="shared" si="2"/>
        <v>199806074.4</v>
      </c>
    </row>
    <row r="44" ht="15.75" customHeight="1">
      <c r="A44" s="1" t="s">
        <v>106</v>
      </c>
      <c r="B44" s="1" t="s">
        <v>14</v>
      </c>
      <c r="E44" s="1" t="s">
        <v>107</v>
      </c>
      <c r="F44" s="1" t="s">
        <v>108</v>
      </c>
      <c r="J44" s="3">
        <v>5.0</v>
      </c>
      <c r="L44" s="5">
        <f t="shared" si="1"/>
        <v>-242407.0055</v>
      </c>
      <c r="M44" s="5">
        <f t="shared" si="2"/>
        <v>199757593</v>
      </c>
    </row>
    <row r="45" ht="15.75" customHeight="1">
      <c r="A45" s="1" t="s">
        <v>106</v>
      </c>
      <c r="B45" s="1" t="s">
        <v>109</v>
      </c>
      <c r="E45" s="1" t="s">
        <v>110</v>
      </c>
      <c r="F45" s="1" t="s">
        <v>111</v>
      </c>
      <c r="J45" s="3">
        <v>6.0</v>
      </c>
      <c r="L45" s="5">
        <f t="shared" si="1"/>
        <v>-290888.4066</v>
      </c>
      <c r="M45" s="5">
        <f t="shared" si="2"/>
        <v>199709111.6</v>
      </c>
    </row>
    <row r="46" ht="15.75" customHeight="1">
      <c r="A46" s="1" t="s">
        <v>112</v>
      </c>
      <c r="B46" s="1" t="s">
        <v>113</v>
      </c>
      <c r="E46" s="1" t="s">
        <v>28</v>
      </c>
      <c r="F46" s="1" t="s">
        <v>114</v>
      </c>
      <c r="J46" s="3">
        <v>7.0</v>
      </c>
      <c r="L46" s="5">
        <f t="shared" si="1"/>
        <v>-339369.8077</v>
      </c>
      <c r="M46" s="5">
        <f t="shared" si="2"/>
        <v>199660630.2</v>
      </c>
    </row>
    <row r="47" ht="15.75" customHeight="1">
      <c r="A47" s="1" t="s">
        <v>115</v>
      </c>
      <c r="B47" s="1" t="s">
        <v>14</v>
      </c>
      <c r="E47" s="1" t="s">
        <v>116</v>
      </c>
      <c r="F47" s="1" t="s">
        <v>117</v>
      </c>
      <c r="J47" s="3">
        <v>8.0</v>
      </c>
      <c r="L47" s="5">
        <f t="shared" si="1"/>
        <v>-387851.2088</v>
      </c>
      <c r="M47" s="5">
        <f t="shared" si="2"/>
        <v>199612148.8</v>
      </c>
    </row>
    <row r="48" ht="15.75" customHeight="1">
      <c r="A48" s="1" t="s">
        <v>118</v>
      </c>
      <c r="B48" s="1" t="s">
        <v>14</v>
      </c>
      <c r="E48" s="1" t="s">
        <v>119</v>
      </c>
      <c r="F48" s="1" t="s">
        <v>120</v>
      </c>
      <c r="J48" s="3">
        <v>9.0</v>
      </c>
      <c r="L48" s="5">
        <f t="shared" si="1"/>
        <v>-436332.61</v>
      </c>
      <c r="M48" s="5">
        <f t="shared" si="2"/>
        <v>199563667.4</v>
      </c>
    </row>
    <row r="49" ht="15.75" customHeight="1">
      <c r="J49" s="3">
        <v>10.0</v>
      </c>
      <c r="L49" s="5">
        <f t="shared" si="1"/>
        <v>-484814.0111</v>
      </c>
      <c r="M49" s="5">
        <f t="shared" si="2"/>
        <v>199515186</v>
      </c>
    </row>
    <row r="50" ht="15.75" customHeight="1">
      <c r="J50" s="3">
        <v>11.0</v>
      </c>
      <c r="L50" s="5">
        <f t="shared" si="1"/>
        <v>-533295.4122</v>
      </c>
      <c r="M50" s="5">
        <f t="shared" si="2"/>
        <v>199466704.6</v>
      </c>
    </row>
    <row r="51" ht="15.75" customHeight="1">
      <c r="J51" s="3">
        <v>12.0</v>
      </c>
      <c r="L51" s="5">
        <f t="shared" si="1"/>
        <v>-581776.8133</v>
      </c>
      <c r="M51" s="5">
        <f t="shared" si="2"/>
        <v>199418223.2</v>
      </c>
    </row>
    <row r="52" ht="15.75" customHeight="1">
      <c r="J52" s="3">
        <v>13.0</v>
      </c>
      <c r="L52" s="5">
        <f t="shared" si="1"/>
        <v>-630258.2144</v>
      </c>
      <c r="M52" s="5">
        <f t="shared" si="2"/>
        <v>199369741.8</v>
      </c>
    </row>
    <row r="53" ht="15.75" customHeight="1">
      <c r="J53" s="3">
        <v>14.0</v>
      </c>
      <c r="L53" s="5">
        <f t="shared" si="1"/>
        <v>-678739.6155</v>
      </c>
      <c r="M53" s="5">
        <f t="shared" si="2"/>
        <v>199321260.4</v>
      </c>
    </row>
    <row r="54" ht="15.75" customHeight="1">
      <c r="J54" s="3">
        <v>15.0</v>
      </c>
      <c r="L54" s="5">
        <f t="shared" si="1"/>
        <v>-727221.0166</v>
      </c>
      <c r="M54" s="5">
        <f t="shared" si="2"/>
        <v>199272779</v>
      </c>
    </row>
    <row r="55" ht="15.75" customHeight="1">
      <c r="J55" s="3">
        <v>16.0</v>
      </c>
      <c r="L55" s="5">
        <f t="shared" si="1"/>
        <v>-775702.4177</v>
      </c>
      <c r="M55" s="5">
        <f t="shared" si="2"/>
        <v>199224297.6</v>
      </c>
    </row>
    <row r="56" ht="15.75" customHeight="1">
      <c r="J56" s="3">
        <v>17.0</v>
      </c>
      <c r="L56" s="5">
        <f t="shared" si="1"/>
        <v>-824183.8188</v>
      </c>
      <c r="M56" s="5">
        <f t="shared" si="2"/>
        <v>199175816.2</v>
      </c>
    </row>
    <row r="57" ht="15.75" customHeight="1">
      <c r="J57" s="3">
        <v>18.0</v>
      </c>
      <c r="L57" s="5">
        <f t="shared" si="1"/>
        <v>-872665.2199</v>
      </c>
      <c r="M57" s="5">
        <f t="shared" si="2"/>
        <v>199127334.8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rawing r:id="rId1"/>
</worksheet>
</file>